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<sst xmlns="http://schemas.openxmlformats.org/spreadsheetml/2006/main" uniqueCount="117">
  <si>
    <t>Product ID</t>
  </si>
  <si>
    <t>Purchase price (CZK)</t>
  </si>
  <si>
    <t>Sold (Last month)</t>
  </si>
  <si>
    <t>Current Stock</t>
  </si>
  <si>
    <t>Order</t>
  </si>
  <si>
    <t xml:space="preserve">Recommended Amount </t>
  </si>
  <si>
    <t>min</t>
  </si>
  <si>
    <t>Price</t>
  </si>
  <si>
    <t>0207-PPF2529</t>
  </si>
  <si>
    <t>0207-PPF2529-MINI</t>
  </si>
  <si>
    <t>0207-PPF2532</t>
  </si>
  <si>
    <t>0207-PPH294-MINI</t>
  </si>
  <si>
    <t>0207-PPH294</t>
  </si>
  <si>
    <t>0207-PPH7028-MINI</t>
  </si>
  <si>
    <t>0207-PPH7028</t>
  </si>
  <si>
    <t>0207-PPH7029</t>
  </si>
  <si>
    <t>0207-PPH7033-MINI</t>
  </si>
  <si>
    <t>0207-PPH7033</t>
  </si>
  <si>
    <t>0207-PPH7041</t>
  </si>
  <si>
    <t>0207-PPU7043</t>
  </si>
  <si>
    <t>0207-PPF7065</t>
  </si>
  <si>
    <t>0207-PPF106</t>
  </si>
  <si>
    <t>0207-PPF109</t>
  </si>
  <si>
    <t>0207-PPF109-MINI</t>
  </si>
  <si>
    <t>0207-PPH115</t>
  </si>
  <si>
    <t>0207-PPH127</t>
  </si>
  <si>
    <t>0207-PPH127-MINI</t>
  </si>
  <si>
    <t>0207-PPF134</t>
  </si>
  <si>
    <t>0207-PPH134-MINI</t>
  </si>
  <si>
    <t>0207-PPH148</t>
  </si>
  <si>
    <t>0207PPH155-MINI</t>
  </si>
  <si>
    <t>0207PPH155</t>
  </si>
  <si>
    <t>0207-PPH157</t>
  </si>
  <si>
    <t>0207-PPH157-MINI</t>
  </si>
  <si>
    <t>0207-PPH158</t>
  </si>
  <si>
    <t>0207-PPH166</t>
  </si>
  <si>
    <t>0207-PPH185-MINI</t>
  </si>
  <si>
    <t>0207-PPH185</t>
  </si>
  <si>
    <t>0207-PPH199</t>
  </si>
  <si>
    <t>0207-PPH205</t>
  </si>
  <si>
    <t>0207-PPH227</t>
  </si>
  <si>
    <t>0207PPF2421</t>
  </si>
  <si>
    <t>0207-PPF2429</t>
  </si>
  <si>
    <t>0207-PPF2435</t>
  </si>
  <si>
    <t>PPFTESTER2435MINI</t>
  </si>
  <si>
    <t>0207-PPF03</t>
  </si>
  <si>
    <t>0207-PPF10-MINI</t>
  </si>
  <si>
    <t>0207-PPF10</t>
  </si>
  <si>
    <t>0207-PPF418</t>
  </si>
  <si>
    <t>0207PPF477</t>
  </si>
  <si>
    <t>0207-PPF2471-MINI</t>
  </si>
  <si>
    <t>0207-PPF2471</t>
  </si>
  <si>
    <t>0207-PPF2481-MINI</t>
  </si>
  <si>
    <t>027PPF2481</t>
  </si>
  <si>
    <t>0207-PPF46</t>
  </si>
  <si>
    <t>0207-PPF53</t>
  </si>
  <si>
    <t>0207-PPF53-MINI</t>
  </si>
  <si>
    <t>0207-PPF2498</t>
  </si>
  <si>
    <t>0207-PPF2503</t>
  </si>
  <si>
    <t>0207-PPF2509</t>
  </si>
  <si>
    <t>PPFTESTER2509MINI</t>
  </si>
  <si>
    <t>0207-PPFTESTER2512-MINI</t>
  </si>
  <si>
    <t>0207-PPF2512</t>
  </si>
  <si>
    <t>0207-PPF2515</t>
  </si>
  <si>
    <t>0207-PPF2526-MINI</t>
  </si>
  <si>
    <t>0207-PPF2526</t>
  </si>
  <si>
    <t>0207-PPH151</t>
  </si>
  <si>
    <t>0207-PPH135</t>
  </si>
  <si>
    <t>0207-PPH135-MINI</t>
  </si>
  <si>
    <t>0207-PPH281</t>
  </si>
  <si>
    <t>0207-PPH281-MINI</t>
  </si>
  <si>
    <t>0207-PPH289</t>
  </si>
  <si>
    <t>0207-PPF29</t>
  </si>
  <si>
    <t>0207-PPH207</t>
  </si>
  <si>
    <t>0207-PPH207-MINI</t>
  </si>
  <si>
    <t>0207PPF404</t>
  </si>
  <si>
    <t>0207PPF404-MINI</t>
  </si>
  <si>
    <t>0207-PPF409</t>
  </si>
  <si>
    <t>0207-PPH414</t>
  </si>
  <si>
    <t>0207-PPF449</t>
  </si>
  <si>
    <t>0207-PPF458</t>
  </si>
  <si>
    <t>0207-PPF479</t>
  </si>
  <si>
    <t>0207-PPF479-MINI</t>
  </si>
  <si>
    <t>0207-PPF483</t>
  </si>
  <si>
    <t>0207-PPF485</t>
  </si>
  <si>
    <t>0207-PPF492-MINI</t>
  </si>
  <si>
    <t>0207-PPF492</t>
  </si>
  <si>
    <t>027PPF496</t>
  </si>
  <si>
    <t>0207PPF59</t>
  </si>
  <si>
    <t>0207-PPF67</t>
  </si>
  <si>
    <t>0207-PPF68-MINI</t>
  </si>
  <si>
    <t>0207-PPF68</t>
  </si>
  <si>
    <t>0207-PPH763-MINI</t>
  </si>
  <si>
    <t>0207-PPH763</t>
  </si>
  <si>
    <t>0207-PPF80</t>
  </si>
  <si>
    <t>0207-PPF80-MINI</t>
  </si>
  <si>
    <t>0207-PPF82</t>
  </si>
  <si>
    <t>0207-PPF83</t>
  </si>
  <si>
    <t>0207-PPF857</t>
  </si>
  <si>
    <t>0207-PPH859</t>
  </si>
  <si>
    <t>0207-PPH859-MINI</t>
  </si>
  <si>
    <t>0207-PPF862</t>
  </si>
  <si>
    <t>0207-PPF87</t>
  </si>
  <si>
    <t>0207-PPF87-MINI</t>
  </si>
  <si>
    <t>0207-PPE903-MINI</t>
  </si>
  <si>
    <t>PPH903</t>
  </si>
  <si>
    <t>0207-PPH912</t>
  </si>
  <si>
    <t>0207-PPH912-MINI</t>
  </si>
  <si>
    <t>0207-PPF93-MINI</t>
  </si>
  <si>
    <t>0207PPF97</t>
  </si>
  <si>
    <t>0207PPF97-MINI</t>
  </si>
  <si>
    <t>ELIXIR2481</t>
  </si>
  <si>
    <t>ELIXIR2481-MINI</t>
  </si>
  <si>
    <t>ELIXIR260</t>
  </si>
  <si>
    <t>ELIXIR260-MINI</t>
  </si>
  <si>
    <t>ELIXIR446</t>
  </si>
  <si>
    <t>ELIXIR446-MINI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</si>
</sst>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1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115"/>
  <sheetViews>
    <sheetView workbookViewId="0" showGridLines="0" defaultGridColor="1"/>
  </sheetViews>
  <sheetFormatPr defaultColWidth="8.5" defaultRowHeight="13.8" customHeight="1" outlineLevelRow="0" outlineLevelCol="0"/>
  <cols>
    <col min="1" max="1" width="31" style="1" customWidth="1"/>
    <col min="2" max="4" hidden="1" width="8.5" style="1" customWidth="1"/>
    <col min="5" max="5" width="19" style="1" customWidth="1"/>
    <col min="6" max="8" hidden="1" width="8.5" style="1" customWidth="1"/>
    <col min="9" max="10" width="8.5" style="1" customWidth="1"/>
    <col min="11" max="16384" width="8.5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s="3"/>
      <c r="J1" s="3"/>
    </row>
    <row r="2" ht="13.55" customHeight="1">
      <c r="A2" t="s" s="2">
        <v>8</v>
      </c>
      <c r="B2" s="4">
        <v>90</v>
      </c>
      <c r="C2" s="4">
        <v>116</v>
      </c>
      <c r="D2" s="4">
        <v>146</v>
      </c>
      <c r="E2" s="4">
        <v>780</v>
      </c>
      <c r="F2" s="4">
        <v>350</v>
      </c>
      <c r="G2" s="4">
        <v>300</v>
      </c>
      <c r="H2" s="4">
        <f>B2/25*E2</f>
        <v>2808</v>
      </c>
      <c r="I2" s="3"/>
      <c r="J2" s="3"/>
    </row>
    <row r="3" ht="13.55" customHeight="1">
      <c r="A3" t="s" s="2">
        <v>9</v>
      </c>
      <c r="B3" s="4">
        <v>8</v>
      </c>
      <c r="C3" s="4">
        <v>57</v>
      </c>
      <c r="D3" s="4">
        <v>260</v>
      </c>
      <c r="E3" s="4">
        <f>MAX(C3*8-D3,F3,G3)</f>
        <v>300</v>
      </c>
      <c r="F3" s="4">
        <v>300</v>
      </c>
      <c r="G3" s="4">
        <v>300</v>
      </c>
      <c r="H3" s="4">
        <f>B3/25*E3</f>
        <v>96</v>
      </c>
      <c r="I3" s="3"/>
      <c r="J3" s="3"/>
    </row>
    <row r="4" ht="13.55" customHeight="1">
      <c r="A4" t="s" s="2">
        <v>10</v>
      </c>
      <c r="B4" s="4">
        <v>90</v>
      </c>
      <c r="C4" s="4">
        <v>269</v>
      </c>
      <c r="D4" s="4">
        <v>1245</v>
      </c>
      <c r="E4" s="4">
        <f>MAX(C4*8-D4,F4,G4)</f>
        <v>1000</v>
      </c>
      <c r="F4" s="4">
        <v>1000</v>
      </c>
      <c r="G4" s="4">
        <v>1000</v>
      </c>
      <c r="H4" s="4">
        <f>B4/25*E4</f>
        <v>3600</v>
      </c>
      <c r="I4" s="3"/>
      <c r="J4" s="3"/>
    </row>
    <row r="5" ht="13.55" customHeight="1">
      <c r="A5" t="s" s="2">
        <v>11</v>
      </c>
      <c r="B5" s="4">
        <v>8</v>
      </c>
      <c r="C5" s="4">
        <v>3</v>
      </c>
      <c r="D5" s="4">
        <v>0</v>
      </c>
      <c r="E5" s="4">
        <f>MAX(C5*8-D5,F5,G5)</f>
        <v>300</v>
      </c>
      <c r="F5" s="4">
        <v>300</v>
      </c>
      <c r="G5" s="4">
        <v>300</v>
      </c>
      <c r="H5" s="4">
        <f>B5/25*E5</f>
        <v>96</v>
      </c>
      <c r="I5" s="3"/>
      <c r="J5" s="3"/>
    </row>
    <row r="6" ht="13.55" customHeight="1">
      <c r="A6" t="s" s="2">
        <v>12</v>
      </c>
      <c r="B6" s="4">
        <v>90</v>
      </c>
      <c r="C6" s="4">
        <v>16</v>
      </c>
      <c r="D6" s="4">
        <v>156</v>
      </c>
      <c r="E6" s="4">
        <f>MAX(C6*8-D6,F6,G6)</f>
        <v>300</v>
      </c>
      <c r="F6" s="4">
        <v>0</v>
      </c>
      <c r="G6" s="4">
        <v>300</v>
      </c>
      <c r="H6" s="4">
        <f>B6/25*E6</f>
        <v>1080</v>
      </c>
      <c r="I6" s="3"/>
      <c r="J6" s="3"/>
    </row>
    <row r="7" ht="13.55" customHeight="1">
      <c r="A7" t="s" s="2">
        <v>13</v>
      </c>
      <c r="B7" s="4">
        <v>8</v>
      </c>
      <c r="C7" s="4">
        <v>88</v>
      </c>
      <c r="D7" s="4">
        <v>386</v>
      </c>
      <c r="E7" s="4">
        <v>500</v>
      </c>
      <c r="F7" s="4">
        <v>0</v>
      </c>
      <c r="G7" s="4">
        <v>300</v>
      </c>
      <c r="H7" s="4">
        <f>B7/25*E7</f>
        <v>160</v>
      </c>
      <c r="I7" s="3"/>
      <c r="J7" s="3"/>
    </row>
    <row r="8" ht="13.55" customHeight="1">
      <c r="A8" t="s" s="2">
        <v>14</v>
      </c>
      <c r="B8" s="4">
        <v>90</v>
      </c>
      <c r="C8" s="4">
        <v>84</v>
      </c>
      <c r="D8" s="4">
        <v>506</v>
      </c>
      <c r="E8" s="4">
        <v>500</v>
      </c>
      <c r="F8" s="4">
        <v>0</v>
      </c>
      <c r="G8" s="4">
        <v>300</v>
      </c>
      <c r="H8" s="4">
        <f>B8/25*E8</f>
        <v>1800</v>
      </c>
      <c r="I8" s="3"/>
      <c r="J8" s="3"/>
    </row>
    <row r="9" ht="13.55" customHeight="1">
      <c r="A9" t="s" s="2">
        <v>15</v>
      </c>
      <c r="B9" s="4">
        <v>90</v>
      </c>
      <c r="C9" s="4">
        <v>10</v>
      </c>
      <c r="D9" s="4">
        <v>0</v>
      </c>
      <c r="E9" s="4">
        <v>2000</v>
      </c>
      <c r="F9" s="4">
        <v>300</v>
      </c>
      <c r="G9" s="4">
        <v>300</v>
      </c>
      <c r="H9" s="4">
        <f>B9/25*E9</f>
        <v>7200</v>
      </c>
      <c r="I9" s="3"/>
      <c r="J9" s="3"/>
    </row>
    <row r="10" ht="13.55" customHeight="1">
      <c r="A10" s="5"/>
      <c r="B10" s="4">
        <v>8</v>
      </c>
      <c r="C10" s="5"/>
      <c r="D10" s="4"/>
      <c r="E10" s="4">
        <v>1500</v>
      </c>
      <c r="F10" s="5"/>
      <c r="G10" s="5"/>
      <c r="H10" s="4">
        <f>B10/25*E10</f>
        <v>480</v>
      </c>
      <c r="I10" s="3"/>
      <c r="J10" s="3"/>
    </row>
    <row r="11" ht="13.55" customHeight="1">
      <c r="A11" t="s" s="2">
        <v>16</v>
      </c>
      <c r="B11" s="4">
        <v>8</v>
      </c>
      <c r="C11" s="4">
        <v>1</v>
      </c>
      <c r="D11" s="4">
        <v>0</v>
      </c>
      <c r="E11" s="4">
        <f>MAX(C11*8-D11,F11,G11)</f>
        <v>900</v>
      </c>
      <c r="F11" s="4">
        <v>900</v>
      </c>
      <c r="G11" s="4">
        <v>300</v>
      </c>
      <c r="H11" s="4">
        <f>B11/25*E11</f>
        <v>288</v>
      </c>
      <c r="I11" s="3"/>
      <c r="J11" s="3"/>
    </row>
    <row r="12" ht="13.55" customHeight="1">
      <c r="A12" t="s" s="2">
        <v>17</v>
      </c>
      <c r="B12" s="4">
        <v>90</v>
      </c>
      <c r="C12" s="4">
        <v>195</v>
      </c>
      <c r="D12" s="4">
        <v>0</v>
      </c>
      <c r="E12" s="4">
        <v>3000</v>
      </c>
      <c r="F12" s="4">
        <v>500</v>
      </c>
      <c r="G12" s="4">
        <v>300</v>
      </c>
      <c r="H12" s="4">
        <f>B12/25*E12</f>
        <v>10800</v>
      </c>
      <c r="I12" s="3"/>
      <c r="J12" s="3"/>
    </row>
    <row r="13" ht="13.55" customHeight="1">
      <c r="A13" t="s" s="2">
        <v>18</v>
      </c>
      <c r="B13" s="4">
        <v>90</v>
      </c>
      <c r="C13" s="4">
        <v>1</v>
      </c>
      <c r="D13" s="4">
        <v>0</v>
      </c>
      <c r="E13" s="4">
        <v>1000</v>
      </c>
      <c r="F13" s="4">
        <v>300</v>
      </c>
      <c r="G13" s="4">
        <v>300</v>
      </c>
      <c r="H13" s="4">
        <f>B13/25*E13</f>
        <v>3600</v>
      </c>
      <c r="I13" s="3"/>
      <c r="J13" s="3"/>
    </row>
    <row r="14" ht="13.55" customHeight="1">
      <c r="A14" s="5"/>
      <c r="B14" s="4">
        <v>8</v>
      </c>
      <c r="C14" s="5"/>
      <c r="D14" s="4"/>
      <c r="E14" s="4">
        <v>1000</v>
      </c>
      <c r="F14" s="5"/>
      <c r="G14" s="5"/>
      <c r="H14" s="4">
        <f>B14/25*E14</f>
        <v>320</v>
      </c>
      <c r="I14" s="3"/>
      <c r="J14" s="3"/>
    </row>
    <row r="15" ht="13.55" customHeight="1">
      <c r="A15" t="s" s="2">
        <v>19</v>
      </c>
      <c r="B15" s="4">
        <v>90</v>
      </c>
      <c r="C15" s="4">
        <v>77</v>
      </c>
      <c r="D15" s="4">
        <v>287</v>
      </c>
      <c r="E15" s="4">
        <v>330</v>
      </c>
      <c r="F15" s="4">
        <v>300</v>
      </c>
      <c r="G15" s="4">
        <v>300</v>
      </c>
      <c r="H15" s="4">
        <f>B15/25*E15</f>
        <v>1188</v>
      </c>
      <c r="I15" s="3"/>
      <c r="J15" s="3"/>
    </row>
    <row r="16" ht="13.55" customHeight="1">
      <c r="A16" s="5"/>
      <c r="B16" s="4">
        <v>8</v>
      </c>
      <c r="C16" s="5"/>
      <c r="D16" s="4"/>
      <c r="E16" s="4">
        <v>1000</v>
      </c>
      <c r="F16" s="5"/>
      <c r="G16" s="5"/>
      <c r="H16" s="4">
        <f>B16/25*E16</f>
        <v>320</v>
      </c>
      <c r="I16" s="3"/>
      <c r="J16" s="3"/>
    </row>
    <row r="17" ht="13.55" customHeight="1">
      <c r="A17" t="s" s="2">
        <v>20</v>
      </c>
      <c r="B17" s="4">
        <v>90</v>
      </c>
      <c r="C17" s="4">
        <v>153</v>
      </c>
      <c r="D17" s="4">
        <v>0</v>
      </c>
      <c r="E17" s="4">
        <v>1225</v>
      </c>
      <c r="F17" s="4">
        <v>700</v>
      </c>
      <c r="G17" s="4">
        <v>300</v>
      </c>
      <c r="H17" s="4">
        <f>B17/25*E17</f>
        <v>4410</v>
      </c>
      <c r="I17" s="3"/>
      <c r="J17" s="3"/>
    </row>
    <row r="18" ht="13.55" customHeight="1">
      <c r="A18" s="5"/>
      <c r="B18" s="4">
        <v>8</v>
      </c>
      <c r="C18" s="5"/>
      <c r="D18" s="4"/>
      <c r="E18" s="4">
        <v>1500</v>
      </c>
      <c r="F18" s="5"/>
      <c r="G18" s="5"/>
      <c r="H18" s="4">
        <f>B18/25*E18</f>
        <v>480</v>
      </c>
      <c r="I18" s="3"/>
      <c r="J18" s="3"/>
    </row>
    <row r="19" ht="13.55" customHeight="1">
      <c r="A19" t="s" s="2">
        <v>21</v>
      </c>
      <c r="B19" s="4">
        <v>90</v>
      </c>
      <c r="C19" s="4">
        <v>82</v>
      </c>
      <c r="D19" s="4">
        <v>145</v>
      </c>
      <c r="E19" s="4">
        <v>510</v>
      </c>
      <c r="F19" s="4">
        <v>300</v>
      </c>
      <c r="G19" s="4">
        <v>300</v>
      </c>
      <c r="H19" s="4">
        <f>B19/25*E19</f>
        <v>1836</v>
      </c>
      <c r="I19" s="3"/>
      <c r="J19" s="3"/>
    </row>
    <row r="20" ht="13.55" customHeight="1">
      <c r="A20" t="s" s="2">
        <v>22</v>
      </c>
      <c r="B20" s="4">
        <v>90</v>
      </c>
      <c r="C20" s="4">
        <v>34</v>
      </c>
      <c r="D20" s="4">
        <v>67</v>
      </c>
      <c r="E20" s="4">
        <f>MAX(C20*8-D20,F20,G20)</f>
        <v>300</v>
      </c>
      <c r="F20" s="4">
        <v>300</v>
      </c>
      <c r="G20" s="4">
        <v>300</v>
      </c>
      <c r="H20" s="4">
        <f>B20/25*E20</f>
        <v>1080</v>
      </c>
      <c r="I20" s="3"/>
      <c r="J20" s="3"/>
    </row>
    <row r="21" ht="13.55" customHeight="1">
      <c r="A21" t="s" s="2">
        <v>23</v>
      </c>
      <c r="B21" s="4">
        <v>8</v>
      </c>
      <c r="C21" s="4">
        <v>68</v>
      </c>
      <c r="D21" s="4">
        <v>153</v>
      </c>
      <c r="E21" s="4">
        <v>390</v>
      </c>
      <c r="F21" s="4">
        <v>300</v>
      </c>
      <c r="G21" s="4">
        <v>300</v>
      </c>
      <c r="H21" s="4">
        <f>B21/25*E21</f>
        <v>124.8</v>
      </c>
      <c r="I21" s="3"/>
      <c r="J21" s="3"/>
    </row>
    <row r="22" ht="13.55" customHeight="1">
      <c r="A22" t="s" s="2">
        <v>24</v>
      </c>
      <c r="B22" s="4">
        <v>90</v>
      </c>
      <c r="C22" s="4">
        <v>43</v>
      </c>
      <c r="D22" s="4">
        <v>176</v>
      </c>
      <c r="E22" s="4">
        <f>MAX(C22*8-D22,F22,G22)</f>
        <v>300</v>
      </c>
      <c r="F22" s="4">
        <v>300</v>
      </c>
      <c r="G22" s="4">
        <v>300</v>
      </c>
      <c r="H22" s="4">
        <f>B22/25*E22</f>
        <v>1080</v>
      </c>
      <c r="I22" s="3"/>
      <c r="J22" s="3"/>
    </row>
    <row r="23" ht="13.55" customHeight="1">
      <c r="A23" t="s" s="2">
        <v>25</v>
      </c>
      <c r="B23" s="4">
        <v>90</v>
      </c>
      <c r="C23" s="4">
        <v>10</v>
      </c>
      <c r="D23" s="4">
        <v>32</v>
      </c>
      <c r="E23" s="4">
        <f>MAX(C23*8-D23,F23,G23)</f>
        <v>300</v>
      </c>
      <c r="F23" s="4">
        <v>300</v>
      </c>
      <c r="G23" s="4">
        <v>300</v>
      </c>
      <c r="H23" s="4">
        <f>B23/25*E23</f>
        <v>1080</v>
      </c>
      <c r="I23" s="3"/>
      <c r="J23" s="3"/>
    </row>
    <row r="24" ht="13.55" customHeight="1">
      <c r="A24" t="s" s="2">
        <v>26</v>
      </c>
      <c r="B24" s="4">
        <v>90</v>
      </c>
      <c r="C24" s="4">
        <v>14</v>
      </c>
      <c r="D24" s="4">
        <v>140</v>
      </c>
      <c r="E24" s="4">
        <f>MAX(C24*8-D24,F24,G24)</f>
        <v>300</v>
      </c>
      <c r="F24" s="4">
        <v>0</v>
      </c>
      <c r="G24" s="4">
        <v>300</v>
      </c>
      <c r="H24" s="4">
        <f>B24/25*E24</f>
        <v>1080</v>
      </c>
      <c r="I24" s="3"/>
      <c r="J24" s="3"/>
    </row>
    <row r="25" ht="13.55" customHeight="1">
      <c r="A25" t="s" s="2">
        <v>27</v>
      </c>
      <c r="B25" s="4">
        <v>90</v>
      </c>
      <c r="C25" s="4">
        <v>79</v>
      </c>
      <c r="D25" s="4">
        <v>267</v>
      </c>
      <c r="E25" s="4">
        <f>MAX(C25*8-D25,F25,G25)</f>
        <v>365</v>
      </c>
      <c r="F25" s="4">
        <v>300</v>
      </c>
      <c r="G25" s="4">
        <v>300</v>
      </c>
      <c r="H25" s="4">
        <f>B25/25*E25</f>
        <v>1314</v>
      </c>
      <c r="I25" s="3"/>
      <c r="J25" s="3"/>
    </row>
    <row r="26" ht="13.55" customHeight="1">
      <c r="A26" t="s" s="2">
        <v>28</v>
      </c>
      <c r="B26" s="4">
        <v>90</v>
      </c>
      <c r="C26" s="4">
        <v>30</v>
      </c>
      <c r="D26" s="4">
        <v>191</v>
      </c>
      <c r="E26" s="4">
        <f>MAX(C26*8-D26,F26,G26)</f>
        <v>300</v>
      </c>
      <c r="F26" s="4">
        <v>0</v>
      </c>
      <c r="G26" s="4">
        <v>300</v>
      </c>
      <c r="H26" s="4">
        <f>B26/25*E26</f>
        <v>1080</v>
      </c>
      <c r="I26" s="3"/>
      <c r="J26" s="3"/>
    </row>
    <row r="27" ht="13.55" customHeight="1">
      <c r="A27" t="s" s="2">
        <v>29</v>
      </c>
      <c r="B27" s="4">
        <v>90</v>
      </c>
      <c r="C27" s="4">
        <v>257</v>
      </c>
      <c r="D27" s="4">
        <v>359</v>
      </c>
      <c r="E27" s="4">
        <v>1700</v>
      </c>
      <c r="F27" s="4">
        <v>300</v>
      </c>
      <c r="G27" s="4">
        <v>300</v>
      </c>
      <c r="H27" s="4">
        <f>B27/25*E27</f>
        <v>6120</v>
      </c>
      <c r="I27" s="3"/>
      <c r="J27" s="3"/>
    </row>
    <row r="28" ht="13.55" customHeight="1">
      <c r="A28" t="s" s="2">
        <v>30</v>
      </c>
      <c r="B28" s="4">
        <v>8</v>
      </c>
      <c r="C28" s="4">
        <v>46</v>
      </c>
      <c r="D28" s="4">
        <v>53</v>
      </c>
      <c r="E28" s="4">
        <f>MAX(C28*8-D28,F28,G28)</f>
        <v>315</v>
      </c>
      <c r="F28" s="4">
        <v>300</v>
      </c>
      <c r="G28" s="4">
        <v>300</v>
      </c>
      <c r="H28" s="4">
        <f>B28/25*E28</f>
        <v>100.8</v>
      </c>
      <c r="I28" s="3"/>
      <c r="J28" s="3"/>
    </row>
    <row r="29" ht="13.55" customHeight="1">
      <c r="A29" t="s" s="2">
        <v>31</v>
      </c>
      <c r="B29" s="4">
        <v>90</v>
      </c>
      <c r="C29" s="4">
        <v>110</v>
      </c>
      <c r="D29" s="4">
        <v>375</v>
      </c>
      <c r="E29" s="4">
        <f>MAX(C29*8-D29,F29,G29)</f>
        <v>505</v>
      </c>
      <c r="F29" s="4">
        <v>0</v>
      </c>
      <c r="G29" s="4">
        <v>300</v>
      </c>
      <c r="H29" s="4">
        <f>B29/25*E29</f>
        <v>1818</v>
      </c>
      <c r="I29" s="3"/>
      <c r="J29" s="3"/>
    </row>
    <row r="30" ht="13.55" customHeight="1">
      <c r="A30" t="s" s="2">
        <v>32</v>
      </c>
      <c r="B30" s="4">
        <v>90</v>
      </c>
      <c r="C30" s="4">
        <v>48</v>
      </c>
      <c r="D30" s="4">
        <v>68</v>
      </c>
      <c r="E30" s="4">
        <v>315</v>
      </c>
      <c r="F30" s="4">
        <v>300</v>
      </c>
      <c r="G30" s="4">
        <v>300</v>
      </c>
      <c r="H30" s="4">
        <f>B30/25*E30</f>
        <v>1134</v>
      </c>
      <c r="I30" s="3"/>
      <c r="J30" s="3"/>
    </row>
    <row r="31" ht="13.55" customHeight="1">
      <c r="A31" t="s" s="2">
        <v>33</v>
      </c>
      <c r="B31" s="4">
        <v>8</v>
      </c>
      <c r="C31" s="4">
        <v>18</v>
      </c>
      <c r="D31" s="4">
        <v>215</v>
      </c>
      <c r="E31" s="4">
        <f>MAX(C31*8-D31,F31,G31)</f>
        <v>300</v>
      </c>
      <c r="F31" s="4">
        <v>0</v>
      </c>
      <c r="G31" s="4">
        <v>300</v>
      </c>
      <c r="H31" s="4">
        <f>B31/25*E31</f>
        <v>96</v>
      </c>
      <c r="I31" s="3"/>
      <c r="J31" s="3"/>
    </row>
    <row r="32" ht="13.55" customHeight="1">
      <c r="A32" t="s" s="2">
        <v>34</v>
      </c>
      <c r="B32" s="4">
        <v>90</v>
      </c>
      <c r="C32" s="4">
        <v>53</v>
      </c>
      <c r="D32" s="4">
        <v>110</v>
      </c>
      <c r="E32" s="4">
        <v>315</v>
      </c>
      <c r="F32" s="4">
        <v>300</v>
      </c>
      <c r="G32" s="4">
        <v>300</v>
      </c>
      <c r="H32" s="4">
        <f>B32/25*E32</f>
        <v>1134</v>
      </c>
      <c r="I32" s="3"/>
      <c r="J32" s="3"/>
    </row>
    <row r="33" ht="13.55" customHeight="1">
      <c r="A33" t="s" s="2">
        <v>35</v>
      </c>
      <c r="B33" s="4">
        <v>90</v>
      </c>
      <c r="C33" s="4">
        <v>127</v>
      </c>
      <c r="D33" s="4">
        <v>333</v>
      </c>
      <c r="E33" s="4">
        <v>700</v>
      </c>
      <c r="F33" s="4">
        <v>300</v>
      </c>
      <c r="G33" s="4">
        <v>300</v>
      </c>
      <c r="H33" s="4">
        <f>B33/25*E33</f>
        <v>2520</v>
      </c>
      <c r="I33" s="3"/>
      <c r="J33" s="3"/>
    </row>
    <row r="34" ht="13.55" customHeight="1">
      <c r="A34" t="s" s="2">
        <v>36</v>
      </c>
      <c r="B34" s="4">
        <v>8</v>
      </c>
      <c r="C34" s="4">
        <v>28</v>
      </c>
      <c r="D34" s="4">
        <v>84</v>
      </c>
      <c r="E34" s="4">
        <f>MAX(C34*8-D34,F34,G34)</f>
        <v>300</v>
      </c>
      <c r="F34" s="4">
        <v>300</v>
      </c>
      <c r="G34" s="4">
        <v>300</v>
      </c>
      <c r="H34" s="4">
        <f>B34/25*E34</f>
        <v>96</v>
      </c>
      <c r="I34" s="3"/>
      <c r="J34" s="3"/>
    </row>
    <row r="35" ht="13.55" customHeight="1">
      <c r="A35" t="s" s="2">
        <v>37</v>
      </c>
      <c r="B35" s="4">
        <v>90</v>
      </c>
      <c r="C35" s="4">
        <v>18</v>
      </c>
      <c r="D35" s="4">
        <v>98</v>
      </c>
      <c r="E35" s="4">
        <f>MAX(C35*8-D35,F35,G35)</f>
        <v>300</v>
      </c>
      <c r="F35" s="4">
        <v>0</v>
      </c>
      <c r="G35" s="4">
        <v>300</v>
      </c>
      <c r="H35" s="4">
        <f>B35/25*E35</f>
        <v>1080</v>
      </c>
      <c r="I35" s="3"/>
      <c r="J35" s="3"/>
    </row>
    <row r="36" ht="13.55" customHeight="1">
      <c r="A36" t="s" s="2">
        <v>38</v>
      </c>
      <c r="B36" s="4">
        <v>90</v>
      </c>
      <c r="C36" s="4">
        <v>266</v>
      </c>
      <c r="D36" s="4">
        <v>517</v>
      </c>
      <c r="E36" s="4">
        <v>1600</v>
      </c>
      <c r="F36" s="4">
        <v>800</v>
      </c>
      <c r="G36" s="4">
        <v>300</v>
      </c>
      <c r="H36" s="4">
        <f>B36/25*E36</f>
        <v>5760</v>
      </c>
      <c r="I36" s="3"/>
      <c r="J36" s="3"/>
    </row>
    <row r="37" ht="13.55" customHeight="1">
      <c r="A37" t="s" s="2">
        <v>39</v>
      </c>
      <c r="B37" s="4">
        <v>90</v>
      </c>
      <c r="C37" s="4">
        <v>104</v>
      </c>
      <c r="D37" s="4">
        <v>232</v>
      </c>
      <c r="E37" s="4">
        <f>MAX(C37*8-D37,F37,G37)</f>
        <v>600</v>
      </c>
      <c r="F37" s="4">
        <v>300</v>
      </c>
      <c r="G37" s="4">
        <v>300</v>
      </c>
      <c r="H37" s="4">
        <f>B37/25*E37</f>
        <v>2160</v>
      </c>
      <c r="I37" s="3"/>
      <c r="J37" s="3"/>
    </row>
    <row r="38" ht="13.55" customHeight="1">
      <c r="A38" t="s" s="2">
        <v>40</v>
      </c>
      <c r="B38" s="4">
        <v>90</v>
      </c>
      <c r="C38" s="4">
        <v>108</v>
      </c>
      <c r="D38" s="4">
        <v>0</v>
      </c>
      <c r="E38" s="4">
        <v>860</v>
      </c>
      <c r="F38" s="4">
        <v>750</v>
      </c>
      <c r="G38" s="4">
        <v>300</v>
      </c>
      <c r="H38" s="4">
        <f>B38/25*E38</f>
        <v>3096</v>
      </c>
      <c r="I38" s="3"/>
      <c r="J38" s="3"/>
    </row>
    <row r="39" ht="13.55" customHeight="1">
      <c r="A39" t="s" s="2">
        <v>41</v>
      </c>
      <c r="B39" s="4">
        <v>90</v>
      </c>
      <c r="C39" s="4">
        <v>165</v>
      </c>
      <c r="D39" s="4">
        <v>396</v>
      </c>
      <c r="E39" s="4">
        <v>925</v>
      </c>
      <c r="F39" s="4">
        <v>300</v>
      </c>
      <c r="G39" s="4">
        <v>300</v>
      </c>
      <c r="H39" s="4">
        <f>B39/25*E39</f>
        <v>3330</v>
      </c>
      <c r="I39" s="3"/>
      <c r="J39" s="3"/>
    </row>
    <row r="40" ht="13.55" customHeight="1">
      <c r="A40" t="s" s="2">
        <v>42</v>
      </c>
      <c r="B40" s="4">
        <v>90</v>
      </c>
      <c r="C40" s="4">
        <v>269</v>
      </c>
      <c r="D40" s="4">
        <v>782</v>
      </c>
      <c r="E40" s="4">
        <f>MAX(C40*8-D40,F40,G40)</f>
        <v>1370</v>
      </c>
      <c r="F40" s="4">
        <v>300</v>
      </c>
      <c r="G40" s="4">
        <v>300</v>
      </c>
      <c r="H40" s="4">
        <f>B40/25*E40</f>
        <v>4932</v>
      </c>
      <c r="I40" s="3"/>
      <c r="J40" s="3"/>
    </row>
    <row r="41" ht="13.55" customHeight="1">
      <c r="A41" t="s" s="2">
        <v>43</v>
      </c>
      <c r="B41" s="4">
        <v>90</v>
      </c>
      <c r="C41" s="4">
        <v>188</v>
      </c>
      <c r="D41" s="4">
        <v>263</v>
      </c>
      <c r="E41" s="4">
        <v>1240</v>
      </c>
      <c r="F41" s="4">
        <v>500</v>
      </c>
      <c r="G41" s="4">
        <v>300</v>
      </c>
      <c r="H41" s="4">
        <f>B41/25*E41</f>
        <v>4464</v>
      </c>
      <c r="I41" s="3"/>
      <c r="J41" s="3"/>
    </row>
    <row r="42" ht="13.55" customHeight="1">
      <c r="A42" t="s" s="2">
        <v>44</v>
      </c>
      <c r="B42" s="4">
        <v>8</v>
      </c>
      <c r="C42" s="4">
        <v>87</v>
      </c>
      <c r="D42" s="4">
        <v>469</v>
      </c>
      <c r="E42" s="4">
        <f>MAX(C42*8-D42,F42,G42)</f>
        <v>300</v>
      </c>
      <c r="F42" s="4">
        <v>300</v>
      </c>
      <c r="G42" s="4">
        <v>300</v>
      </c>
      <c r="H42" s="4">
        <f>B42/25*E42</f>
        <v>96</v>
      </c>
      <c r="I42" s="3"/>
      <c r="J42" s="3"/>
    </row>
    <row r="43" ht="13.55" customHeight="1">
      <c r="A43" t="s" s="2">
        <v>45</v>
      </c>
      <c r="B43" s="4">
        <v>90</v>
      </c>
      <c r="C43" s="4">
        <v>12</v>
      </c>
      <c r="D43" s="4">
        <v>51</v>
      </c>
      <c r="E43" s="4">
        <f>MAX(C43*8-D43,F43,G43)</f>
        <v>300</v>
      </c>
      <c r="F43" s="4">
        <v>0</v>
      </c>
      <c r="G43" s="4">
        <v>300</v>
      </c>
      <c r="H43" s="4">
        <f>B43/25*E43</f>
        <v>1080</v>
      </c>
      <c r="I43" s="3"/>
      <c r="J43" s="3"/>
    </row>
    <row r="44" ht="13.55" customHeight="1">
      <c r="A44" t="s" s="2">
        <v>46</v>
      </c>
      <c r="B44" s="4">
        <v>8</v>
      </c>
      <c r="C44" s="4">
        <v>3</v>
      </c>
      <c r="D44" s="4">
        <v>0</v>
      </c>
      <c r="E44" s="4">
        <f>MAX(C44*8-D44,F44,G44)</f>
        <v>300</v>
      </c>
      <c r="F44" s="4">
        <v>300</v>
      </c>
      <c r="G44" s="4">
        <v>300</v>
      </c>
      <c r="H44" s="4">
        <f>B44/25*E44</f>
        <v>96</v>
      </c>
      <c r="I44" s="3"/>
      <c r="J44" s="3"/>
    </row>
    <row r="45" ht="13.55" customHeight="1">
      <c r="A45" t="s" s="2">
        <v>47</v>
      </c>
      <c r="B45" s="4">
        <v>90</v>
      </c>
      <c r="C45" s="4">
        <v>8</v>
      </c>
      <c r="D45" s="4">
        <v>63</v>
      </c>
      <c r="E45" s="4">
        <f>MAX(C45*8-D45,F45,G45)</f>
        <v>300</v>
      </c>
      <c r="F45" s="4">
        <v>0</v>
      </c>
      <c r="G45" s="4">
        <v>300</v>
      </c>
      <c r="H45" s="4">
        <f>B45/25*E45</f>
        <v>1080</v>
      </c>
      <c r="I45" s="3"/>
      <c r="J45" s="3"/>
    </row>
    <row r="46" ht="13.55" customHeight="1">
      <c r="A46" t="s" s="2">
        <v>48</v>
      </c>
      <c r="B46" s="4">
        <v>90</v>
      </c>
      <c r="C46" s="4">
        <v>109</v>
      </c>
      <c r="D46" s="4">
        <v>249</v>
      </c>
      <c r="E46" s="4">
        <v>625</v>
      </c>
      <c r="F46" s="4">
        <v>300</v>
      </c>
      <c r="G46" s="4">
        <v>300</v>
      </c>
      <c r="H46" s="4">
        <f>B46/25*E46</f>
        <v>2250</v>
      </c>
      <c r="I46" s="3"/>
      <c r="J46" s="3"/>
    </row>
    <row r="47" ht="13.55" customHeight="1">
      <c r="A47" t="s" s="2">
        <v>49</v>
      </c>
      <c r="B47" s="4">
        <v>90</v>
      </c>
      <c r="C47" s="4">
        <v>31</v>
      </c>
      <c r="D47" s="4">
        <v>120</v>
      </c>
      <c r="E47" s="4">
        <f>MAX(C47*8-D47,F47,G47)</f>
        <v>300</v>
      </c>
      <c r="F47" s="4">
        <v>300</v>
      </c>
      <c r="G47" s="4">
        <v>300</v>
      </c>
      <c r="H47" s="4">
        <f>B47/25*E47</f>
        <v>1080</v>
      </c>
      <c r="I47" s="3"/>
      <c r="J47" s="3"/>
    </row>
    <row r="48" ht="13.55" customHeight="1">
      <c r="A48" t="s" s="2">
        <v>50</v>
      </c>
      <c r="B48" s="4">
        <v>8</v>
      </c>
      <c r="C48" s="4">
        <v>7</v>
      </c>
      <c r="D48" s="4">
        <v>101</v>
      </c>
      <c r="E48" s="4">
        <f>MAX(C48*8-D48,F48,G48)</f>
        <v>300</v>
      </c>
      <c r="F48" s="4">
        <v>0</v>
      </c>
      <c r="G48" s="4">
        <v>300</v>
      </c>
      <c r="H48" s="4">
        <f>B48/25*E48</f>
        <v>96</v>
      </c>
      <c r="I48" s="3"/>
      <c r="J48" s="3"/>
    </row>
    <row r="49" ht="13.55" customHeight="1">
      <c r="A49" t="s" s="2">
        <v>51</v>
      </c>
      <c r="B49" s="4">
        <v>90</v>
      </c>
      <c r="C49" s="4">
        <v>7</v>
      </c>
      <c r="D49" s="4">
        <v>113</v>
      </c>
      <c r="E49" s="4">
        <f>MAX(C49*8-D49,F49,G49)</f>
        <v>300</v>
      </c>
      <c r="F49" s="4">
        <v>0</v>
      </c>
      <c r="G49" s="4">
        <v>300</v>
      </c>
      <c r="H49" s="4">
        <f>B49/25*E49</f>
        <v>1080</v>
      </c>
      <c r="I49" s="3"/>
      <c r="J49" s="3"/>
    </row>
    <row r="50" ht="13.55" customHeight="1">
      <c r="A50" t="s" s="2">
        <v>52</v>
      </c>
      <c r="B50" s="4">
        <v>8</v>
      </c>
      <c r="C50" s="4">
        <v>45</v>
      </c>
      <c r="D50" s="4">
        <v>237</v>
      </c>
      <c r="E50" s="4">
        <f>MAX(C50*8-D50,F50,G50)</f>
        <v>300</v>
      </c>
      <c r="F50" s="4">
        <v>300</v>
      </c>
      <c r="G50" s="4">
        <v>300</v>
      </c>
      <c r="H50" s="4">
        <f>B50/25*E50</f>
        <v>96</v>
      </c>
      <c r="I50" s="3"/>
      <c r="J50" s="3"/>
    </row>
    <row r="51" ht="13.55" customHeight="1">
      <c r="A51" t="s" s="2">
        <v>53</v>
      </c>
      <c r="B51" s="4">
        <v>90</v>
      </c>
      <c r="C51" s="4">
        <v>115</v>
      </c>
      <c r="D51" s="4">
        <v>515</v>
      </c>
      <c r="E51" s="4">
        <v>400</v>
      </c>
      <c r="F51" s="4">
        <v>0</v>
      </c>
      <c r="G51" s="4">
        <v>300</v>
      </c>
      <c r="H51" s="4">
        <f>B51/25*E51</f>
        <v>1440</v>
      </c>
      <c r="I51" s="3"/>
      <c r="J51" s="3"/>
    </row>
    <row r="52" ht="13.55" customHeight="1">
      <c r="A52" t="s" s="2">
        <v>54</v>
      </c>
      <c r="B52" s="4">
        <v>90</v>
      </c>
      <c r="C52" s="4">
        <v>79</v>
      </c>
      <c r="D52" s="4">
        <v>105</v>
      </c>
      <c r="E52" s="4">
        <v>525</v>
      </c>
      <c r="F52" s="4">
        <v>300</v>
      </c>
      <c r="G52" s="4">
        <v>300</v>
      </c>
      <c r="H52" s="4">
        <f>B52/25*E52</f>
        <v>1890</v>
      </c>
      <c r="I52" s="3"/>
      <c r="J52" s="3"/>
    </row>
    <row r="53" ht="13.55" customHeight="1">
      <c r="A53" t="s" s="2">
        <v>55</v>
      </c>
      <c r="B53" s="4">
        <v>90</v>
      </c>
      <c r="C53" s="4">
        <v>69</v>
      </c>
      <c r="D53" s="4">
        <v>339</v>
      </c>
      <c r="E53" s="4">
        <f>MAX(C53*8-D53,F53,G53)</f>
        <v>300</v>
      </c>
      <c r="F53" s="4">
        <v>300</v>
      </c>
      <c r="G53" s="4">
        <v>300</v>
      </c>
      <c r="H53" s="4">
        <f>B53/25*E53</f>
        <v>1080</v>
      </c>
      <c r="I53" s="3"/>
      <c r="J53" s="3"/>
    </row>
    <row r="54" ht="13.55" customHeight="1">
      <c r="A54" t="s" s="2">
        <v>56</v>
      </c>
      <c r="B54" s="4">
        <v>8</v>
      </c>
      <c r="C54" s="4">
        <v>50</v>
      </c>
      <c r="D54" s="4">
        <v>582</v>
      </c>
      <c r="E54" s="4">
        <f>MAX(C54*8-D54,F54,G54)</f>
        <v>300</v>
      </c>
      <c r="F54" s="4">
        <v>0</v>
      </c>
      <c r="G54" s="4">
        <v>300</v>
      </c>
      <c r="H54" s="4">
        <f>B54/25*E54</f>
        <v>96</v>
      </c>
      <c r="I54" s="3"/>
      <c r="J54" s="3"/>
    </row>
    <row r="55" ht="13.55" customHeight="1">
      <c r="A55" t="s" s="2">
        <v>57</v>
      </c>
      <c r="B55" s="4">
        <v>90</v>
      </c>
      <c r="C55" s="4">
        <v>0</v>
      </c>
      <c r="D55" s="4">
        <v>0</v>
      </c>
      <c r="E55" s="4">
        <f>MAX(C55*8-D55,F55,G55)</f>
        <v>300</v>
      </c>
      <c r="F55" s="4">
        <v>300</v>
      </c>
      <c r="G55" s="4">
        <v>300</v>
      </c>
      <c r="H55" s="4">
        <f>B55/25*E55</f>
        <v>1080</v>
      </c>
      <c r="I55" s="3"/>
      <c r="J55" s="3"/>
    </row>
    <row r="56" ht="13.55" customHeight="1">
      <c r="A56" t="s" s="2">
        <v>58</v>
      </c>
      <c r="B56" s="4">
        <v>90</v>
      </c>
      <c r="C56" s="4">
        <v>230</v>
      </c>
      <c r="D56" s="4">
        <v>1373</v>
      </c>
      <c r="E56" s="4">
        <v>470</v>
      </c>
      <c r="F56" s="4">
        <v>350</v>
      </c>
      <c r="G56" s="4">
        <v>300</v>
      </c>
      <c r="H56" s="4">
        <f>B56/25*E56</f>
        <v>1692</v>
      </c>
      <c r="I56" s="3"/>
      <c r="J56" s="3"/>
    </row>
    <row r="57" ht="13.55" customHeight="1">
      <c r="A57" t="s" s="2">
        <v>59</v>
      </c>
      <c r="B57" s="4">
        <v>90</v>
      </c>
      <c r="C57" s="4">
        <v>22</v>
      </c>
      <c r="D57" s="4">
        <v>109</v>
      </c>
      <c r="E57" s="4">
        <f>MAX(C57*8-D57,F57,G57)</f>
        <v>300</v>
      </c>
      <c r="F57" s="4">
        <v>300</v>
      </c>
      <c r="G57" s="4">
        <v>300</v>
      </c>
      <c r="H57" s="4">
        <f>B57/25*E57</f>
        <v>1080</v>
      </c>
      <c r="I57" s="3"/>
      <c r="J57" s="3"/>
    </row>
    <row r="58" ht="13.55" customHeight="1">
      <c r="A58" t="s" s="2">
        <v>60</v>
      </c>
      <c r="B58" s="4">
        <v>8</v>
      </c>
      <c r="C58" s="4">
        <v>44</v>
      </c>
      <c r="D58" s="4">
        <v>373</v>
      </c>
      <c r="E58" s="4">
        <f>MAX(C58*8-D58,F58,G58)</f>
        <v>300</v>
      </c>
      <c r="F58" s="4">
        <v>0</v>
      </c>
      <c r="G58" s="4">
        <v>300</v>
      </c>
      <c r="H58" s="4">
        <f>B58/25*E58</f>
        <v>96</v>
      </c>
      <c r="I58" s="3"/>
      <c r="J58" s="3"/>
    </row>
    <row r="59" ht="13.55" customHeight="1">
      <c r="A59" t="s" s="2">
        <v>61</v>
      </c>
      <c r="B59" s="4">
        <v>8</v>
      </c>
      <c r="C59" s="4">
        <v>34</v>
      </c>
      <c r="D59" s="4">
        <v>251</v>
      </c>
      <c r="E59" s="4">
        <f>MAX(C59*8-D59,F59,G59)</f>
        <v>300</v>
      </c>
      <c r="F59" s="4">
        <v>0</v>
      </c>
      <c r="G59" s="4">
        <v>300</v>
      </c>
      <c r="H59" s="4">
        <f>B59/25*E59</f>
        <v>96</v>
      </c>
      <c r="I59" s="3"/>
      <c r="J59" s="3"/>
    </row>
    <row r="60" ht="13.55" customHeight="1">
      <c r="A60" t="s" s="2">
        <v>62</v>
      </c>
      <c r="B60" s="4">
        <v>70</v>
      </c>
      <c r="C60" s="4">
        <v>37</v>
      </c>
      <c r="D60" s="4">
        <v>289</v>
      </c>
      <c r="E60" s="4">
        <f>MAX(C60*8-D60,F60,G60)</f>
        <v>300</v>
      </c>
      <c r="F60" s="4">
        <v>0</v>
      </c>
      <c r="G60" s="4">
        <v>300</v>
      </c>
      <c r="H60" s="4">
        <f>B60/25*E60</f>
        <v>840</v>
      </c>
      <c r="I60" s="3"/>
      <c r="J60" s="3"/>
    </row>
    <row r="61" ht="13.55" customHeight="1">
      <c r="A61" t="s" s="2">
        <v>63</v>
      </c>
      <c r="B61" s="4">
        <v>90</v>
      </c>
      <c r="C61" s="4">
        <v>18</v>
      </c>
      <c r="D61" s="4">
        <v>66</v>
      </c>
      <c r="E61" s="4">
        <f>MAX(C61*8-D61,F61,G61)</f>
        <v>300</v>
      </c>
      <c r="F61" s="4">
        <v>0</v>
      </c>
      <c r="G61" s="4">
        <v>300</v>
      </c>
      <c r="H61" s="4">
        <f>B61/25*E61</f>
        <v>1080</v>
      </c>
      <c r="I61" s="3"/>
      <c r="J61" s="3"/>
    </row>
    <row r="62" ht="13.55" customHeight="1">
      <c r="A62" t="s" s="2">
        <v>64</v>
      </c>
      <c r="B62" s="4">
        <v>8</v>
      </c>
      <c r="C62" s="4">
        <v>0</v>
      </c>
      <c r="D62" s="4">
        <v>-11</v>
      </c>
      <c r="E62" s="4">
        <f>MAX(C62*8-D62,F62,G62)</f>
        <v>550</v>
      </c>
      <c r="F62" s="4">
        <v>550</v>
      </c>
      <c r="G62" s="4">
        <v>300</v>
      </c>
      <c r="H62" s="4">
        <f>B62/25*E62</f>
        <v>176</v>
      </c>
      <c r="I62" s="3"/>
      <c r="J62" s="3"/>
    </row>
    <row r="63" ht="13.55" customHeight="1">
      <c r="A63" t="s" s="2">
        <v>65</v>
      </c>
      <c r="B63" s="4">
        <v>90</v>
      </c>
      <c r="C63" s="4">
        <v>45</v>
      </c>
      <c r="D63" s="4">
        <v>0</v>
      </c>
      <c r="E63" s="4">
        <f>MAX(C63*8-D63,F63,G63)</f>
        <v>550</v>
      </c>
      <c r="F63" s="4">
        <v>550</v>
      </c>
      <c r="G63" s="4">
        <v>300</v>
      </c>
      <c r="H63" s="4">
        <f>B63/25*E63</f>
        <v>1980</v>
      </c>
      <c r="I63" s="3"/>
      <c r="J63" s="3"/>
    </row>
    <row r="64" ht="13.55" customHeight="1">
      <c r="A64" t="s" s="2">
        <v>66</v>
      </c>
      <c r="B64" s="4">
        <v>90</v>
      </c>
      <c r="C64" s="4">
        <v>9</v>
      </c>
      <c r="D64" s="4">
        <v>28</v>
      </c>
      <c r="E64" s="4">
        <f>MAX(C64*8-D64,F64,G64)</f>
        <v>300</v>
      </c>
      <c r="F64" s="4">
        <v>0</v>
      </c>
      <c r="G64" s="4">
        <v>300</v>
      </c>
      <c r="H64" s="4">
        <f>B64/25*E64</f>
        <v>1080</v>
      </c>
      <c r="I64" s="3"/>
      <c r="J64" s="3"/>
    </row>
    <row r="65" ht="13.55" customHeight="1">
      <c r="A65" t="s" s="2">
        <v>67</v>
      </c>
      <c r="B65" s="4">
        <v>90</v>
      </c>
      <c r="C65" s="4">
        <v>30</v>
      </c>
      <c r="D65" s="4">
        <v>81</v>
      </c>
      <c r="E65" s="4">
        <f>MAX(C65*8-D65,F65,G65)</f>
        <v>300</v>
      </c>
      <c r="F65" s="4">
        <v>300</v>
      </c>
      <c r="G65" s="4">
        <v>300</v>
      </c>
      <c r="H65" s="4">
        <f>B65/25*E65</f>
        <v>1080</v>
      </c>
      <c r="I65" s="3"/>
      <c r="J65" s="3"/>
    </row>
    <row r="66" ht="13.55" customHeight="1">
      <c r="A66" t="s" s="2">
        <v>68</v>
      </c>
      <c r="B66" s="4">
        <v>8</v>
      </c>
      <c r="C66" s="4">
        <v>45</v>
      </c>
      <c r="D66" s="4">
        <v>541</v>
      </c>
      <c r="E66" s="4">
        <f>MAX(C66*8-D66,F66,G66)</f>
        <v>300</v>
      </c>
      <c r="F66" s="4">
        <v>0</v>
      </c>
      <c r="G66" s="4">
        <v>300</v>
      </c>
      <c r="H66" s="4">
        <f>B66/25*E66</f>
        <v>96</v>
      </c>
      <c r="I66" s="3"/>
      <c r="J66" s="3"/>
    </row>
    <row r="67" ht="13.55" customHeight="1">
      <c r="A67" t="s" s="2">
        <v>69</v>
      </c>
      <c r="B67" s="4">
        <v>90</v>
      </c>
      <c r="C67" s="4">
        <v>84</v>
      </c>
      <c r="D67" s="4">
        <v>28</v>
      </c>
      <c r="E67" s="4">
        <v>400</v>
      </c>
      <c r="F67" s="4">
        <v>300</v>
      </c>
      <c r="G67" s="4">
        <v>300</v>
      </c>
      <c r="H67" s="4">
        <f>B67/25*E67</f>
        <v>1440</v>
      </c>
      <c r="I67" s="3"/>
      <c r="J67" s="3"/>
    </row>
    <row r="68" ht="13.55" customHeight="1">
      <c r="A68" t="s" s="2">
        <v>70</v>
      </c>
      <c r="B68" s="4">
        <v>8</v>
      </c>
      <c r="C68" s="4">
        <v>61</v>
      </c>
      <c r="D68" s="4">
        <v>395</v>
      </c>
      <c r="E68" s="4">
        <f>MAX(C68*8-D68,F68,G68)</f>
        <v>300</v>
      </c>
      <c r="F68" s="4">
        <v>0</v>
      </c>
      <c r="G68" s="4">
        <v>300</v>
      </c>
      <c r="H68" s="4">
        <f>B68/25*E68</f>
        <v>96</v>
      </c>
      <c r="I68" s="3"/>
      <c r="J68" s="3"/>
    </row>
    <row r="69" ht="13.55" customHeight="1">
      <c r="A69" t="s" s="2">
        <v>71</v>
      </c>
      <c r="B69" s="4">
        <v>70</v>
      </c>
      <c r="C69" s="4">
        <v>137</v>
      </c>
      <c r="D69" s="4">
        <v>0</v>
      </c>
      <c r="E69" s="4">
        <v>1100</v>
      </c>
      <c r="F69" s="4">
        <v>500</v>
      </c>
      <c r="G69" s="4">
        <v>300</v>
      </c>
      <c r="H69" s="4">
        <f>B69/25*E69</f>
        <v>3080</v>
      </c>
      <c r="I69" s="3"/>
      <c r="J69" s="3"/>
    </row>
    <row r="70" ht="13.55" customHeight="1">
      <c r="A70" t="s" s="2">
        <v>72</v>
      </c>
      <c r="B70" s="4">
        <v>90</v>
      </c>
      <c r="C70" s="4">
        <v>75</v>
      </c>
      <c r="D70" s="4">
        <v>120</v>
      </c>
      <c r="E70" s="4">
        <f>MAX(C70*8-D70,F70,G70)</f>
        <v>480</v>
      </c>
      <c r="F70" s="4">
        <v>300</v>
      </c>
      <c r="G70" s="4">
        <v>300</v>
      </c>
      <c r="H70" s="4">
        <f>B70/25*E70</f>
        <v>1728</v>
      </c>
      <c r="I70" s="3"/>
      <c r="J70" s="3"/>
    </row>
    <row r="71" ht="13.55" customHeight="1">
      <c r="A71" t="s" s="2">
        <v>73</v>
      </c>
      <c r="B71" s="4">
        <v>90</v>
      </c>
      <c r="C71" s="4">
        <v>182</v>
      </c>
      <c r="D71" s="4">
        <v>190</v>
      </c>
      <c r="E71" s="4">
        <v>1260</v>
      </c>
      <c r="F71" s="4">
        <v>450</v>
      </c>
      <c r="G71" s="4">
        <v>300</v>
      </c>
      <c r="H71" s="4">
        <f>B71/25*E71</f>
        <v>4536</v>
      </c>
      <c r="I71" s="3"/>
      <c r="J71" s="3"/>
    </row>
    <row r="72" ht="13.55" customHeight="1">
      <c r="A72" t="s" s="2">
        <v>74</v>
      </c>
      <c r="B72" s="4">
        <v>8</v>
      </c>
      <c r="C72" s="4">
        <v>219</v>
      </c>
      <c r="D72" s="4">
        <v>1121</v>
      </c>
      <c r="E72" s="4">
        <v>630</v>
      </c>
      <c r="F72" s="4">
        <v>0</v>
      </c>
      <c r="G72" s="4">
        <v>300</v>
      </c>
      <c r="H72" s="4">
        <f>B72/25*E72</f>
        <v>201.6</v>
      </c>
      <c r="I72" s="3"/>
      <c r="J72" s="3"/>
    </row>
    <row r="73" ht="13.55" customHeight="1">
      <c r="A73" t="s" s="2">
        <v>75</v>
      </c>
      <c r="B73" s="4">
        <v>90</v>
      </c>
      <c r="C73" s="4">
        <v>117</v>
      </c>
      <c r="D73" s="4">
        <v>47</v>
      </c>
      <c r="E73" s="4">
        <v>500</v>
      </c>
      <c r="F73" s="4">
        <v>500</v>
      </c>
      <c r="G73" s="4">
        <v>300</v>
      </c>
      <c r="H73" s="4">
        <f>B73/25*E73</f>
        <v>1800</v>
      </c>
      <c r="I73" s="3"/>
      <c r="J73" s="3"/>
    </row>
    <row r="74" ht="13.55" customHeight="1">
      <c r="A74" t="s" s="2">
        <v>76</v>
      </c>
      <c r="B74" s="4">
        <v>8</v>
      </c>
      <c r="C74" s="4">
        <v>90</v>
      </c>
      <c r="D74" s="4">
        <v>112</v>
      </c>
      <c r="E74" s="4">
        <v>400</v>
      </c>
      <c r="F74" s="4">
        <v>350</v>
      </c>
      <c r="G74" s="4">
        <v>300</v>
      </c>
      <c r="H74" s="4">
        <f>B74/25*E74</f>
        <v>128</v>
      </c>
      <c r="I74" s="3"/>
      <c r="J74" s="3"/>
    </row>
    <row r="75" ht="13.55" customHeight="1">
      <c r="A75" t="s" s="2">
        <v>77</v>
      </c>
      <c r="B75" s="4">
        <v>90</v>
      </c>
      <c r="C75" s="4">
        <v>170</v>
      </c>
      <c r="D75" s="4">
        <v>638</v>
      </c>
      <c r="E75" s="4">
        <v>720</v>
      </c>
      <c r="F75" s="4">
        <v>300</v>
      </c>
      <c r="G75" s="4">
        <v>300</v>
      </c>
      <c r="H75" s="4">
        <f>B75/25*E75</f>
        <v>2592</v>
      </c>
      <c r="I75" s="3"/>
      <c r="J75" s="3"/>
    </row>
    <row r="76" ht="13.55" customHeight="1">
      <c r="A76" t="s" s="2">
        <v>78</v>
      </c>
      <c r="B76" s="4">
        <v>90</v>
      </c>
      <c r="C76" s="4">
        <v>223</v>
      </c>
      <c r="D76" s="4">
        <v>414</v>
      </c>
      <c r="E76" s="4">
        <f>MAX(C76*8-D76,F76,G76)</f>
        <v>1370</v>
      </c>
      <c r="F76" s="4">
        <v>450</v>
      </c>
      <c r="G76" s="4">
        <v>300</v>
      </c>
      <c r="H76" s="4">
        <f>B76/25*E76</f>
        <v>4932</v>
      </c>
      <c r="I76" s="3"/>
      <c r="J76" s="3"/>
    </row>
    <row r="77" ht="13.55" customHeight="1">
      <c r="A77" t="s" s="2">
        <v>79</v>
      </c>
      <c r="B77" s="4">
        <v>90</v>
      </c>
      <c r="C77" s="4">
        <v>87</v>
      </c>
      <c r="D77" s="4">
        <v>308</v>
      </c>
      <c r="E77" s="4">
        <v>400</v>
      </c>
      <c r="F77" s="4">
        <v>300</v>
      </c>
      <c r="G77" s="4">
        <v>300</v>
      </c>
      <c r="H77" s="4">
        <f>B77/25*E77</f>
        <v>1440</v>
      </c>
      <c r="I77" s="3"/>
      <c r="J77" s="3"/>
    </row>
    <row r="78" ht="13.55" customHeight="1">
      <c r="A78" t="s" s="2">
        <v>80</v>
      </c>
      <c r="B78" s="4">
        <v>90</v>
      </c>
      <c r="C78" s="4">
        <v>20</v>
      </c>
      <c r="D78" s="4">
        <v>76</v>
      </c>
      <c r="E78" s="4">
        <f>MAX(C78*8-D78,F78,G78)</f>
        <v>300</v>
      </c>
      <c r="F78" s="4">
        <v>300</v>
      </c>
      <c r="G78" s="4">
        <v>300</v>
      </c>
      <c r="H78" s="4">
        <f>B78/25*E78</f>
        <v>1080</v>
      </c>
      <c r="I78" s="3"/>
      <c r="J78" s="3"/>
    </row>
    <row r="79" ht="13.55" customHeight="1">
      <c r="A79" t="s" s="2">
        <v>81</v>
      </c>
      <c r="B79" s="4">
        <v>90</v>
      </c>
      <c r="C79" s="4">
        <v>3</v>
      </c>
      <c r="D79" s="4">
        <v>0</v>
      </c>
      <c r="E79" s="4">
        <v>400</v>
      </c>
      <c r="F79" s="4">
        <v>650</v>
      </c>
      <c r="G79" s="4">
        <v>300</v>
      </c>
      <c r="H79" s="4">
        <f>B79/25*E79</f>
        <v>1440</v>
      </c>
      <c r="I79" s="3"/>
      <c r="J79" s="3"/>
    </row>
    <row r="80" ht="13.55" customHeight="1">
      <c r="A80" t="s" s="2">
        <v>82</v>
      </c>
      <c r="B80" s="4">
        <v>8</v>
      </c>
      <c r="C80" s="4">
        <v>134</v>
      </c>
      <c r="D80" s="4">
        <v>279</v>
      </c>
      <c r="E80" s="4">
        <v>800</v>
      </c>
      <c r="F80" s="4">
        <v>300</v>
      </c>
      <c r="G80" s="4">
        <v>300</v>
      </c>
      <c r="H80" s="4">
        <f>B80/25*E80</f>
        <v>256</v>
      </c>
      <c r="I80" s="3"/>
      <c r="J80" s="3"/>
    </row>
    <row r="81" ht="13.55" customHeight="1">
      <c r="A81" t="s" s="2">
        <v>83</v>
      </c>
      <c r="B81" s="4">
        <v>90</v>
      </c>
      <c r="C81" s="4">
        <v>104</v>
      </c>
      <c r="D81" s="4">
        <v>277</v>
      </c>
      <c r="E81" s="4">
        <v>300</v>
      </c>
      <c r="F81" s="4">
        <v>350</v>
      </c>
      <c r="G81" s="4">
        <v>300</v>
      </c>
      <c r="H81" s="4">
        <f>B81/25*E81</f>
        <v>1080</v>
      </c>
      <c r="I81" s="3"/>
      <c r="J81" s="3"/>
    </row>
    <row r="82" ht="13.55" customHeight="1">
      <c r="A82" t="s" s="2">
        <v>84</v>
      </c>
      <c r="B82" s="4">
        <v>90</v>
      </c>
      <c r="C82" s="4">
        <v>144</v>
      </c>
      <c r="D82" s="4">
        <v>96</v>
      </c>
      <c r="E82" s="4">
        <v>1050</v>
      </c>
      <c r="F82" s="4">
        <v>0</v>
      </c>
      <c r="G82" s="4">
        <v>300</v>
      </c>
      <c r="H82" s="4">
        <f>B82/25*E82</f>
        <v>3780</v>
      </c>
      <c r="I82" s="3"/>
      <c r="J82" s="3"/>
    </row>
    <row r="83" ht="13.55" customHeight="1">
      <c r="A83" t="s" s="2">
        <v>85</v>
      </c>
      <c r="B83" s="4">
        <v>8</v>
      </c>
      <c r="C83" s="4">
        <v>2</v>
      </c>
      <c r="D83" s="4">
        <v>0</v>
      </c>
      <c r="E83" s="4">
        <f>MAX(C83*8-D83,F83,G83)</f>
        <v>300</v>
      </c>
      <c r="F83" s="4">
        <v>300</v>
      </c>
      <c r="G83" s="4">
        <v>300</v>
      </c>
      <c r="H83" s="4">
        <f>B83/25*E83</f>
        <v>96</v>
      </c>
      <c r="I83" s="3"/>
      <c r="J83" s="3"/>
    </row>
    <row r="84" ht="13.55" customHeight="1">
      <c r="A84" t="s" s="2">
        <v>86</v>
      </c>
      <c r="B84" s="4">
        <v>90</v>
      </c>
      <c r="C84" s="4">
        <v>101</v>
      </c>
      <c r="D84" s="4">
        <v>135</v>
      </c>
      <c r="E84" s="4">
        <v>680</v>
      </c>
      <c r="F84" s="4">
        <v>300</v>
      </c>
      <c r="G84" s="4">
        <v>300</v>
      </c>
      <c r="H84" s="4">
        <f>B84/25*E84</f>
        <v>2448</v>
      </c>
      <c r="I84" s="3"/>
      <c r="J84" s="3"/>
    </row>
    <row r="85" ht="13.55" customHeight="1">
      <c r="A85" t="s" s="2">
        <v>87</v>
      </c>
      <c r="B85" s="4">
        <v>90</v>
      </c>
      <c r="C85" s="4">
        <v>0</v>
      </c>
      <c r="D85" s="4">
        <v>0</v>
      </c>
      <c r="E85" s="4">
        <f>MAX(C85*8-D85,F85,G85)</f>
        <v>500</v>
      </c>
      <c r="F85" s="4">
        <v>500</v>
      </c>
      <c r="G85" s="4">
        <v>300</v>
      </c>
      <c r="H85" s="4">
        <f>B85/25*E85</f>
        <v>1800</v>
      </c>
      <c r="I85" s="3"/>
      <c r="J85" s="3"/>
    </row>
    <row r="86" ht="13.55" customHeight="1">
      <c r="A86" t="s" s="2">
        <v>88</v>
      </c>
      <c r="B86" s="4">
        <v>90</v>
      </c>
      <c r="C86" s="4">
        <v>49</v>
      </c>
      <c r="D86" s="4">
        <v>328</v>
      </c>
      <c r="E86" s="4">
        <f>MAX(C86*8-D86,F86,G86)</f>
        <v>300</v>
      </c>
      <c r="F86" s="4">
        <v>0</v>
      </c>
      <c r="G86" s="4">
        <v>300</v>
      </c>
      <c r="H86" s="4">
        <f>B86/25*E86</f>
        <v>1080</v>
      </c>
      <c r="I86" s="3"/>
      <c r="J86" s="3"/>
    </row>
    <row r="87" ht="13.55" customHeight="1">
      <c r="A87" t="s" s="2">
        <v>89</v>
      </c>
      <c r="B87" s="4">
        <v>90</v>
      </c>
      <c r="C87" s="4">
        <v>37</v>
      </c>
      <c r="D87" s="4">
        <v>250</v>
      </c>
      <c r="E87" s="4">
        <f>MAX(C87*8-D87,F87,G87)</f>
        <v>300</v>
      </c>
      <c r="F87" s="4">
        <v>300</v>
      </c>
      <c r="G87" s="4">
        <v>300</v>
      </c>
      <c r="H87" s="4">
        <f>B87/25*E87</f>
        <v>1080</v>
      </c>
      <c r="I87" s="3"/>
      <c r="J87" s="3"/>
    </row>
    <row r="88" ht="13.55" customHeight="1">
      <c r="A88" t="s" s="2">
        <v>90</v>
      </c>
      <c r="B88" s="4">
        <v>8</v>
      </c>
      <c r="C88" s="4">
        <v>75</v>
      </c>
      <c r="D88" s="4">
        <v>166</v>
      </c>
      <c r="E88" s="4">
        <v>440</v>
      </c>
      <c r="F88" s="4">
        <v>0</v>
      </c>
      <c r="G88" s="4">
        <v>300</v>
      </c>
      <c r="H88" s="4">
        <f>B88/25*E88</f>
        <v>140.8</v>
      </c>
      <c r="I88" s="3"/>
      <c r="J88" s="3"/>
    </row>
    <row r="89" ht="13.55" customHeight="1">
      <c r="A89" t="s" s="2">
        <v>91</v>
      </c>
      <c r="B89" s="4">
        <v>90</v>
      </c>
      <c r="C89" s="4">
        <v>73</v>
      </c>
      <c r="D89" s="4">
        <v>366</v>
      </c>
      <c r="E89" s="4">
        <f>MAX(C89*8-D89,F89,G89)</f>
        <v>300</v>
      </c>
      <c r="F89" s="4">
        <v>0</v>
      </c>
      <c r="G89" s="4">
        <v>300</v>
      </c>
      <c r="H89" s="4">
        <f>B89/25*E89</f>
        <v>1080</v>
      </c>
      <c r="I89" s="3"/>
      <c r="J89" s="3"/>
    </row>
    <row r="90" ht="13.55" customHeight="1">
      <c r="A90" t="s" s="2">
        <v>92</v>
      </c>
      <c r="B90" s="4">
        <v>8</v>
      </c>
      <c r="C90" s="4">
        <v>46</v>
      </c>
      <c r="D90" s="4">
        <v>0</v>
      </c>
      <c r="E90" s="4">
        <v>370</v>
      </c>
      <c r="F90" s="4">
        <v>300</v>
      </c>
      <c r="G90" s="4">
        <v>300</v>
      </c>
      <c r="H90" s="4">
        <f>B90/25*E90</f>
        <v>118.4</v>
      </c>
      <c r="I90" s="3"/>
      <c r="J90" s="3"/>
    </row>
    <row r="91" ht="13.55" customHeight="1">
      <c r="A91" t="s" s="2">
        <v>93</v>
      </c>
      <c r="B91" s="4">
        <v>90</v>
      </c>
      <c r="C91" s="4">
        <v>48</v>
      </c>
      <c r="D91" s="4">
        <v>344</v>
      </c>
      <c r="E91" s="4">
        <f>MAX(C91*8-D91,F91,G91)</f>
        <v>300</v>
      </c>
      <c r="F91" s="4">
        <v>0</v>
      </c>
      <c r="G91" s="4">
        <v>300</v>
      </c>
      <c r="H91" s="4">
        <f>B91/25*E91</f>
        <v>1080</v>
      </c>
      <c r="I91" s="3"/>
      <c r="J91" s="3"/>
    </row>
    <row r="92" ht="13.55" customHeight="1">
      <c r="A92" t="s" s="2">
        <v>94</v>
      </c>
      <c r="B92" s="4">
        <v>90</v>
      </c>
      <c r="C92" s="4">
        <v>0</v>
      </c>
      <c r="D92" s="4">
        <v>0</v>
      </c>
      <c r="E92" s="4">
        <f>MAX(C92*8-D92,F92,G92)</f>
        <v>300</v>
      </c>
      <c r="F92" s="4">
        <v>300</v>
      </c>
      <c r="G92" s="4">
        <v>300</v>
      </c>
      <c r="H92" s="4">
        <f>B92/25*E92</f>
        <v>1080</v>
      </c>
      <c r="I92" s="3"/>
      <c r="J92" s="3"/>
    </row>
    <row r="93" ht="13.55" customHeight="1">
      <c r="A93" t="s" s="2">
        <v>95</v>
      </c>
      <c r="B93" s="4">
        <v>8</v>
      </c>
      <c r="C93" s="4">
        <v>18</v>
      </c>
      <c r="D93" s="4">
        <v>45</v>
      </c>
      <c r="E93" s="4">
        <f>MAX(C93*8-D93,F93,G93)</f>
        <v>300</v>
      </c>
      <c r="F93" s="4">
        <v>0</v>
      </c>
      <c r="G93" s="4">
        <v>300</v>
      </c>
      <c r="H93" s="4">
        <f>B93/25*E93</f>
        <v>96</v>
      </c>
      <c r="I93" s="3"/>
      <c r="J93" s="3"/>
    </row>
    <row r="94" ht="13.55" customHeight="1">
      <c r="A94" t="s" s="2">
        <v>96</v>
      </c>
      <c r="B94" s="4">
        <v>90</v>
      </c>
      <c r="C94" s="4">
        <v>69</v>
      </c>
      <c r="D94" s="4">
        <v>224</v>
      </c>
      <c r="E94" s="4">
        <v>330</v>
      </c>
      <c r="F94" s="4">
        <v>300</v>
      </c>
      <c r="G94" s="4">
        <v>300</v>
      </c>
      <c r="H94" s="4">
        <f>B94/25*E94</f>
        <v>1188</v>
      </c>
      <c r="I94" s="3"/>
      <c r="J94" s="3"/>
    </row>
    <row r="95" ht="13.55" customHeight="1">
      <c r="A95" t="s" s="2">
        <v>97</v>
      </c>
      <c r="B95" s="4">
        <v>90</v>
      </c>
      <c r="C95" s="4">
        <v>342</v>
      </c>
      <c r="D95" s="4">
        <v>495</v>
      </c>
      <c r="E95" s="4">
        <v>2200</v>
      </c>
      <c r="F95" s="4">
        <v>400</v>
      </c>
      <c r="G95" s="4">
        <v>300</v>
      </c>
      <c r="H95" s="4">
        <f>B95/25*E95</f>
        <v>7920</v>
      </c>
      <c r="I95" s="3"/>
      <c r="J95" s="3"/>
    </row>
    <row r="96" ht="13.55" customHeight="1">
      <c r="A96" t="s" s="2">
        <v>98</v>
      </c>
      <c r="B96" s="4">
        <v>90</v>
      </c>
      <c r="C96" s="4">
        <v>6</v>
      </c>
      <c r="D96" s="4">
        <v>33</v>
      </c>
      <c r="E96" s="4">
        <f>MAX(C96*8-D96,F96,G96)</f>
        <v>300</v>
      </c>
      <c r="F96" s="4">
        <v>0</v>
      </c>
      <c r="G96" s="4">
        <v>300</v>
      </c>
      <c r="H96" s="4">
        <f>B96/25*E96</f>
        <v>1080</v>
      </c>
      <c r="I96" s="3"/>
      <c r="J96" s="3"/>
    </row>
    <row r="97" ht="13.55" customHeight="1">
      <c r="A97" t="s" s="2">
        <v>99</v>
      </c>
      <c r="B97" s="4">
        <v>90</v>
      </c>
      <c r="C97" s="4">
        <v>85</v>
      </c>
      <c r="D97" s="4">
        <v>8</v>
      </c>
      <c r="E97" s="4">
        <v>600</v>
      </c>
      <c r="F97" s="4">
        <v>300</v>
      </c>
      <c r="G97" s="4">
        <v>300</v>
      </c>
      <c r="H97" s="4">
        <f>B97/25*E97</f>
        <v>2160</v>
      </c>
      <c r="I97" s="3"/>
      <c r="J97" s="3"/>
    </row>
    <row r="98" ht="13.55" customHeight="1">
      <c r="A98" t="s" s="2">
        <v>100</v>
      </c>
      <c r="B98" s="4">
        <v>8</v>
      </c>
      <c r="C98" s="4">
        <v>76</v>
      </c>
      <c r="D98" s="4">
        <v>59</v>
      </c>
      <c r="E98" s="4">
        <v>550</v>
      </c>
      <c r="F98" s="4">
        <v>350</v>
      </c>
      <c r="G98" s="4">
        <v>300</v>
      </c>
      <c r="H98" s="4">
        <f>B98/25*E98</f>
        <v>176</v>
      </c>
      <c r="I98" s="3"/>
      <c r="J98" s="3"/>
    </row>
    <row r="99" ht="13.55" customHeight="1">
      <c r="A99" t="s" s="2">
        <v>101</v>
      </c>
      <c r="B99" s="4">
        <v>90</v>
      </c>
      <c r="C99" s="4">
        <v>5</v>
      </c>
      <c r="D99" s="4">
        <v>29</v>
      </c>
      <c r="E99" s="4">
        <f>MAX(C99*8-D99,F99,G99)</f>
        <v>300</v>
      </c>
      <c r="F99" s="4">
        <v>0</v>
      </c>
      <c r="G99" s="4">
        <v>300</v>
      </c>
      <c r="H99" s="4">
        <f>B99/25*E99</f>
        <v>1080</v>
      </c>
      <c r="I99" s="3"/>
      <c r="J99" s="3"/>
    </row>
    <row r="100" ht="13.55" customHeight="1">
      <c r="A100" t="s" s="2">
        <v>102</v>
      </c>
      <c r="B100" s="4">
        <v>90</v>
      </c>
      <c r="C100" s="4">
        <v>20</v>
      </c>
      <c r="D100" s="4">
        <v>59</v>
      </c>
      <c r="E100" s="4">
        <f>MAX(C100*8-D100,F100,G100)</f>
        <v>300</v>
      </c>
      <c r="F100" s="4">
        <v>300</v>
      </c>
      <c r="G100" s="4">
        <v>300</v>
      </c>
      <c r="H100" s="4">
        <f>B100/25*E100</f>
        <v>1080</v>
      </c>
      <c r="I100" s="3"/>
      <c r="J100" s="3"/>
    </row>
    <row r="101" ht="13.55" customHeight="1">
      <c r="A101" t="s" s="2">
        <v>103</v>
      </c>
      <c r="B101" s="4">
        <v>8</v>
      </c>
      <c r="C101" s="4">
        <v>17</v>
      </c>
      <c r="D101" s="4">
        <v>179</v>
      </c>
      <c r="E101" s="4">
        <f>MAX(C101*8-D101,F101,G101)</f>
        <v>300</v>
      </c>
      <c r="F101" s="4">
        <v>0</v>
      </c>
      <c r="G101" s="4">
        <v>300</v>
      </c>
      <c r="H101" s="4">
        <f>B101/25*E101</f>
        <v>96</v>
      </c>
      <c r="I101" s="3"/>
      <c r="J101" s="3"/>
    </row>
    <row r="102" ht="13.55" customHeight="1">
      <c r="A102" t="s" s="2">
        <v>104</v>
      </c>
      <c r="B102" s="4">
        <v>8</v>
      </c>
      <c r="C102" s="4">
        <v>0</v>
      </c>
      <c r="D102" s="4">
        <v>0</v>
      </c>
      <c r="E102" s="4">
        <f>MAX(C102*8-D102,F102,G102)</f>
        <v>300</v>
      </c>
      <c r="F102" s="4">
        <v>300</v>
      </c>
      <c r="G102" s="4">
        <v>300</v>
      </c>
      <c r="H102" s="4">
        <f>B102/25*E102</f>
        <v>96</v>
      </c>
      <c r="I102" s="3"/>
      <c r="J102" s="3"/>
    </row>
    <row r="103" ht="13.55" customHeight="1">
      <c r="A103" t="s" s="2">
        <v>105</v>
      </c>
      <c r="B103" s="4">
        <v>90</v>
      </c>
      <c r="C103" s="4">
        <v>3</v>
      </c>
      <c r="D103" s="4">
        <v>203</v>
      </c>
      <c r="E103" s="4">
        <f>MAX(C103*8-D103,F103,G103)</f>
        <v>300</v>
      </c>
      <c r="F103" s="4">
        <v>0</v>
      </c>
      <c r="G103" s="4">
        <v>300</v>
      </c>
      <c r="H103" s="4">
        <f>B103/25*E103</f>
        <v>1080</v>
      </c>
      <c r="I103" s="3"/>
      <c r="J103" s="3"/>
    </row>
    <row r="104" ht="13.55" customHeight="1">
      <c r="A104" t="s" s="2">
        <v>106</v>
      </c>
      <c r="B104" s="4">
        <v>90</v>
      </c>
      <c r="C104" s="4">
        <v>53</v>
      </c>
      <c r="D104" s="4">
        <v>0</v>
      </c>
      <c r="E104" s="4">
        <f>MAX(C104*8-D104,F104,G104)</f>
        <v>1000</v>
      </c>
      <c r="F104" s="4">
        <v>1000</v>
      </c>
      <c r="G104" s="4">
        <v>300</v>
      </c>
      <c r="H104" s="4">
        <f>B104/25*E104</f>
        <v>3600</v>
      </c>
      <c r="I104" s="3"/>
      <c r="J104" s="3"/>
    </row>
    <row r="105" ht="13.55" customHeight="1">
      <c r="A105" t="s" s="2">
        <v>107</v>
      </c>
      <c r="B105" s="4">
        <v>8</v>
      </c>
      <c r="C105" s="4">
        <v>337</v>
      </c>
      <c r="D105" s="4">
        <v>534</v>
      </c>
      <c r="E105" s="4">
        <v>2200</v>
      </c>
      <c r="F105" s="4">
        <v>400</v>
      </c>
      <c r="G105" s="4">
        <v>300</v>
      </c>
      <c r="H105" s="4">
        <f>B105/25*E105</f>
        <v>704</v>
      </c>
      <c r="I105" s="3"/>
      <c r="J105" s="3"/>
    </row>
    <row r="106" ht="13.55" customHeight="1">
      <c r="A106" t="s" s="2">
        <v>108</v>
      </c>
      <c r="B106" s="4">
        <v>8</v>
      </c>
      <c r="C106" s="4">
        <v>30</v>
      </c>
      <c r="D106" s="4">
        <v>148</v>
      </c>
      <c r="E106" s="4">
        <f>MAX(C106*8-D106,F106,G106)</f>
        <v>300</v>
      </c>
      <c r="F106" s="4">
        <v>0</v>
      </c>
      <c r="G106" s="4">
        <v>300</v>
      </c>
      <c r="H106" s="4">
        <f>B106/25*E106</f>
        <v>96</v>
      </c>
      <c r="I106" s="3"/>
      <c r="J106" s="3"/>
    </row>
    <row r="107" ht="13.55" customHeight="1">
      <c r="A107" t="s" s="2">
        <v>109</v>
      </c>
      <c r="B107" s="4">
        <v>90</v>
      </c>
      <c r="C107" s="4">
        <v>23</v>
      </c>
      <c r="D107" s="4">
        <v>123</v>
      </c>
      <c r="E107" s="4">
        <f>MAX(C107*8-D107,F107,G107)</f>
        <v>300</v>
      </c>
      <c r="F107" s="4">
        <v>300</v>
      </c>
      <c r="G107" s="4">
        <v>300</v>
      </c>
      <c r="H107" s="4">
        <f>B107/25*E107</f>
        <v>1080</v>
      </c>
      <c r="I107" s="3"/>
      <c r="J107" s="3"/>
    </row>
    <row r="108" ht="13.55" customHeight="1">
      <c r="A108" t="s" s="2">
        <v>110</v>
      </c>
      <c r="B108" s="4">
        <v>8</v>
      </c>
      <c r="C108" s="4">
        <v>21</v>
      </c>
      <c r="D108" s="4">
        <v>160</v>
      </c>
      <c r="E108" s="4">
        <f>MAX(C108*8-D108,F108,G108)</f>
        <v>300</v>
      </c>
      <c r="F108" s="4">
        <v>0</v>
      </c>
      <c r="G108" s="4">
        <v>300</v>
      </c>
      <c r="H108" s="4">
        <f>B108/25*E108</f>
        <v>96</v>
      </c>
      <c r="I108" s="3"/>
      <c r="J108" s="3"/>
    </row>
    <row r="109" ht="13.55" customHeight="1">
      <c r="A109" t="s" s="2">
        <v>111</v>
      </c>
      <c r="B109" s="4">
        <v>145</v>
      </c>
      <c r="C109" s="4">
        <v>67</v>
      </c>
      <c r="D109" s="4">
        <v>207</v>
      </c>
      <c r="E109" s="4">
        <f>MAX(C109*8-D109,F109,G109)</f>
        <v>1000</v>
      </c>
      <c r="F109" s="4">
        <v>0</v>
      </c>
      <c r="G109" s="4">
        <v>1000</v>
      </c>
      <c r="H109" s="4">
        <f>B109/25*E109</f>
        <v>5800</v>
      </c>
      <c r="I109" s="3"/>
      <c r="J109" s="3"/>
    </row>
    <row r="110" ht="13.55" customHeight="1">
      <c r="A110" t="s" s="2">
        <v>112</v>
      </c>
      <c r="B110" s="4">
        <v>8</v>
      </c>
      <c r="C110" s="4">
        <v>108</v>
      </c>
      <c r="D110" s="4">
        <v>297</v>
      </c>
      <c r="E110" s="4">
        <f>MAX(C110*8-D110,F110,G110)</f>
        <v>1000</v>
      </c>
      <c r="F110" s="4">
        <v>0</v>
      </c>
      <c r="G110" s="4">
        <v>1000</v>
      </c>
      <c r="H110" s="4">
        <f>B110/25*E110</f>
        <v>320</v>
      </c>
      <c r="I110" s="3"/>
      <c r="J110" s="3"/>
    </row>
    <row r="111" ht="13.55" customHeight="1">
      <c r="A111" t="s" s="2">
        <v>113</v>
      </c>
      <c r="B111" s="4">
        <v>145</v>
      </c>
      <c r="C111" s="4">
        <v>0</v>
      </c>
      <c r="D111" s="4">
        <v>0</v>
      </c>
      <c r="E111" s="4">
        <f>MAX(C111*8-D111,F111,G111)</f>
        <v>1000</v>
      </c>
      <c r="F111" s="4">
        <v>1000</v>
      </c>
      <c r="G111" s="4">
        <v>1000</v>
      </c>
      <c r="H111" s="4">
        <f>B111/25*E111</f>
        <v>5800</v>
      </c>
      <c r="I111" s="3"/>
      <c r="J111" s="3"/>
    </row>
    <row r="112" ht="13.55" customHeight="1">
      <c r="A112" t="s" s="2">
        <v>114</v>
      </c>
      <c r="B112" s="4">
        <v>8</v>
      </c>
      <c r="C112" s="4">
        <v>17</v>
      </c>
      <c r="D112" s="4">
        <v>4</v>
      </c>
      <c r="E112" s="4">
        <f>MAX(C112*8-D112,F112,G112)</f>
        <v>1000</v>
      </c>
      <c r="F112" s="4">
        <v>1000</v>
      </c>
      <c r="G112" s="4">
        <v>1000</v>
      </c>
      <c r="H112" s="4">
        <f>B112/25*E112</f>
        <v>320</v>
      </c>
      <c r="I112" s="3"/>
      <c r="J112" s="3"/>
    </row>
    <row r="113" ht="13.55" customHeight="1">
      <c r="A113" t="s" s="2">
        <v>115</v>
      </c>
      <c r="B113" s="4">
        <v>145</v>
      </c>
      <c r="C113" s="4">
        <v>49</v>
      </c>
      <c r="D113" s="4">
        <v>214</v>
      </c>
      <c r="E113" s="4">
        <f>MAX(C113*8-D113,F113,G113)</f>
        <v>1000</v>
      </c>
      <c r="F113" s="4">
        <v>0</v>
      </c>
      <c r="G113" s="4">
        <v>1000</v>
      </c>
      <c r="H113" s="4">
        <f>B113/25*E113</f>
        <v>5800</v>
      </c>
      <c r="I113" s="3"/>
      <c r="J113" s="3"/>
    </row>
    <row r="114" ht="13.55" customHeight="1">
      <c r="A114" t="s" s="2">
        <v>116</v>
      </c>
      <c r="B114" s="4">
        <v>8</v>
      </c>
      <c r="C114" s="4">
        <v>84</v>
      </c>
      <c r="D114" s="4">
        <v>291</v>
      </c>
      <c r="E114" s="4">
        <f>MAX(C114*8-D114,F114,G114)</f>
        <v>1000</v>
      </c>
      <c r="F114" s="4">
        <v>0</v>
      </c>
      <c r="G114" s="4">
        <v>1000</v>
      </c>
      <c r="H114" s="4">
        <f>B114/25*E114</f>
        <v>320</v>
      </c>
      <c r="I114" s="3"/>
      <c r="J114" s="3"/>
    </row>
    <row r="115" ht="13.55" customHeight="1">
      <c r="A115" s="5"/>
      <c r="B115" s="5"/>
      <c r="C115" s="5"/>
      <c r="D115" s="5"/>
      <c r="E115" s="5"/>
      <c r="F115" s="5"/>
      <c r="G115" s="5"/>
      <c r="H115" s="4">
        <f>SUM(H2:H114)</f>
        <v>186678.4</v>
      </c>
      <c r="I115" s="3"/>
      <c r="J115" s="3"/>
    </row>
  </sheetData>
  <pageMargins left="0.747917" right="0.747917" top="0.984028" bottom="0.984028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